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6" i="1" l="1"/>
  <c r="D7" i="1" s="1"/>
  <c r="D5" i="1"/>
  <c r="E5" i="1"/>
  <c r="E4" i="1"/>
  <c r="E6" i="1" l="1"/>
  <c r="F4" i="1"/>
  <c r="E7" i="1"/>
  <c r="F6" i="1" s="1"/>
  <c r="D8" i="1"/>
  <c r="F5" i="1"/>
  <c r="G4" i="1" s="1"/>
  <c r="E8" i="1" l="1"/>
  <c r="F7" i="1" s="1"/>
  <c r="G6" i="1" s="1"/>
  <c r="D9" i="1"/>
  <c r="G5" i="1"/>
  <c r="H4" i="1" s="1"/>
  <c r="D10" i="1" l="1"/>
  <c r="E9" i="1"/>
  <c r="F8" i="1" s="1"/>
  <c r="G7" i="1" s="1"/>
  <c r="H6" i="1" s="1"/>
  <c r="I5" i="1" s="1"/>
  <c r="J4" i="1" s="1"/>
  <c r="H5" i="1"/>
  <c r="I4" i="1" s="1"/>
  <c r="E10" i="1" l="1"/>
  <c r="F9" i="1" s="1"/>
  <c r="G8" i="1" s="1"/>
  <c r="H7" i="1" s="1"/>
  <c r="I6" i="1" s="1"/>
  <c r="J5" i="1" s="1"/>
  <c r="D11" i="1"/>
  <c r="K5" i="1" l="1"/>
  <c r="K4" i="1"/>
  <c r="D12" i="1"/>
  <c r="E11" i="1"/>
  <c r="F10" i="1" s="1"/>
  <c r="G9" i="1" s="1"/>
  <c r="H8" i="1" s="1"/>
  <c r="I7" i="1" s="1"/>
  <c r="J6" i="1" s="1"/>
  <c r="L4" i="1" l="1"/>
  <c r="E12" i="1"/>
  <c r="F11" i="1" s="1"/>
  <c r="G10" i="1" s="1"/>
  <c r="H9" i="1" s="1"/>
  <c r="I8" i="1" s="1"/>
  <c r="J7" i="1" s="1"/>
  <c r="K6" i="1" s="1"/>
  <c r="L5" i="1" s="1"/>
  <c r="D13" i="1"/>
  <c r="E13" i="1" l="1"/>
  <c r="F12" i="1" s="1"/>
  <c r="G11" i="1" s="1"/>
  <c r="H10" i="1" s="1"/>
  <c r="I9" i="1" s="1"/>
  <c r="J8" i="1" s="1"/>
  <c r="K7" i="1" s="1"/>
  <c r="L6" i="1" s="1"/>
  <c r="D14" i="1"/>
  <c r="E14" i="1" s="1"/>
  <c r="F13" i="1" s="1"/>
  <c r="G12" i="1" s="1"/>
  <c r="H11" i="1" s="1"/>
  <c r="I10" i="1" s="1"/>
  <c r="J9" i="1" s="1"/>
  <c r="K8" i="1" s="1"/>
  <c r="L7" i="1" s="1"/>
  <c r="M4" i="1"/>
  <c r="M6" i="1" l="1"/>
  <c r="M5" i="1"/>
  <c r="N4" i="1" s="1"/>
  <c r="N5" i="1" l="1"/>
  <c r="O4" i="1" s="1"/>
</calcChain>
</file>

<file path=xl/sharedStrings.xml><?xml version="1.0" encoding="utf-8"?>
<sst xmlns="http://schemas.openxmlformats.org/spreadsheetml/2006/main" count="34" uniqueCount="29">
  <si>
    <t>0.55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</si>
  <si>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</si>
  <si>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</si>
  <si>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</si>
  <si>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</si>
  <si>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</si>
  <si>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</si>
  <si>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</si>
  <si>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</si>
  <si>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</si>
  <si>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</si>
  <si>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K</t>
  </si>
  <si>
    <t>Y</t>
  </si>
  <si>
    <t>X</t>
  </si>
  <si>
    <t>x0  + 0.2h = 1.1960561152353324</t>
  </si>
  <si>
    <t>x0 + 0.5h = 1.5449098113110173</t>
  </si>
  <si>
    <t>x10 - 0.25h = 2.010131488608397</t>
  </si>
  <si>
    <t>x10 - 0.5h = 1.6946087473834224</t>
  </si>
  <si>
    <t>F(x) ист.</t>
  </si>
  <si>
    <t>F(x) Н1</t>
  </si>
  <si>
    <t>F(x) Н2</t>
  </si>
  <si>
    <t>Погр-ть</t>
  </si>
  <si>
    <t>0.18</t>
  </si>
  <si>
    <t>0.45</t>
  </si>
  <si>
    <t xml:space="preserve"> 1.196056</t>
  </si>
  <si>
    <t>10^-10</t>
  </si>
  <si>
    <t>10^-15</t>
  </si>
  <si>
    <t>0.775</t>
  </si>
  <si>
    <t>1.686553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</si>
</sst>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165" fontId="0" fillId="0" borderId="4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U22"/>
  <sheetViews>
    <sheetView showGridLines="0" tabSelected="1" workbookViewId="0">
      <selection activeCell="O4" sqref="O4"/>
    </sheetView>
  </sheetViews>
  <sheetFormatPr defaultRowHeight="15" x14ac:dyDescent="0.25"/>
  <cols>
    <col min="1" max="18" width="9.140625" style="1"/>
    <col min="19" max="19" width="9" style="1" bestFit="1" customWidth="1"/>
    <col min="20" max="16384" width="9.140625" style="1"/>
  </cols>
  <sheetData>
    <row r="2" spans="3:21" ht="15.75" thickBot="1" x14ac:dyDescent="0.3"/>
    <row r="3" spans="3:21" ht="15.75" thickBot="1" x14ac:dyDescent="0.3">
      <c r="C3" s="13" t="s">
        <v>11</v>
      </c>
      <c r="D3" s="14" t="s">
        <v>13</v>
      </c>
      <c r="E3" s="15" t="s">
        <v>12</v>
      </c>
      <c r="F3" s="14" t="s">
        <v>1</v>
      </c>
      <c r="G3" s="16" t="s">
        <v>2</v>
      </c>
      <c r="H3" s="16" t="s">
        <v>3</v>
      </c>
      <c r="I3" s="16" t="s">
        <v>4</v>
      </c>
      <c r="J3" s="16" t="s">
        <v>5</v>
      </c>
      <c r="K3" s="16" t="s">
        <v>6</v>
      </c>
      <c r="L3" s="16" t="s">
        <v>7</v>
      </c>
      <c r="M3" s="16" t="s">
        <v>8</v>
      </c>
      <c r="N3" s="16" t="s">
        <v>9</v>
      </c>
      <c r="O3" s="15" t="s">
        <v>10</v>
      </c>
      <c r="R3" s="13" t="s">
        <v>13</v>
      </c>
      <c r="S3" s="14" t="s">
        <v>18</v>
      </c>
      <c r="T3" s="16" t="s">
        <v>19</v>
      </c>
      <c r="U3" s="15" t="s">
        <v>21</v>
      </c>
    </row>
    <row r="4" spans="3:21" x14ac:dyDescent="0.25">
      <c r="C4" s="10">
        <v>1</v>
      </c>
      <c r="D4" s="11">
        <v>0</v>
      </c>
      <c r="E4" s="12">
        <f>2.71 ^ SIN(D4)</f>
        <v>1</v>
      </c>
      <c r="F4" s="27">
        <f>E5 - E4</f>
        <v>0.10465027144315986</v>
      </c>
      <c r="G4" s="21">
        <f>F5 - F4</f>
        <v>9.7387919915010723E-3</v>
      </c>
      <c r="H4" s="21">
        <f>G5- G4</f>
        <v>-5.5318141979143753E-4</v>
      </c>
      <c r="I4" s="21">
        <f xml:space="preserve"> H5 - H4</f>
        <v>-4.5213693598533666E-4</v>
      </c>
      <c r="J4" s="21">
        <f xml:space="preserve"> I5 - I4</f>
        <v>-6.1555709248928281E-5</v>
      </c>
      <c r="K4" s="21">
        <f t="shared" ref="K4:O4" si="0" xml:space="preserve"> J5 - J4</f>
        <v>2.2640589673939004E-5</v>
      </c>
      <c r="L4" s="21">
        <f t="shared" si="0"/>
        <v>1.0256457737556346E-5</v>
      </c>
      <c r="M4" s="21">
        <f t="shared" si="0"/>
        <v>-1.0218695907227016E-6</v>
      </c>
      <c r="N4" s="21">
        <f t="shared" si="0"/>
        <v>-1.6942067468939115E-6</v>
      </c>
      <c r="O4" s="31">
        <f t="shared" si="0"/>
        <v>-3.6554982374426004E-8</v>
      </c>
      <c r="R4" s="29" t="s">
        <v>22</v>
      </c>
      <c r="S4" s="25" t="s">
        <v>24</v>
      </c>
      <c r="T4" s="23" t="s">
        <v>24</v>
      </c>
      <c r="U4" s="24" t="s">
        <v>25</v>
      </c>
    </row>
    <row r="5" spans="3:21" ht="15.75" thickBot="1" x14ac:dyDescent="0.3">
      <c r="C5" s="8">
        <v>2</v>
      </c>
      <c r="D5" s="3">
        <f>D4 + 1 / 10</f>
        <v>0.1</v>
      </c>
      <c r="E5" s="5">
        <f t="shared" ref="E5:E14" si="1">2.71 ^ SIN(D5)</f>
        <v>1.1046502714431599</v>
      </c>
      <c r="F5" s="32">
        <f t="shared" ref="F5:G13" si="2">E6 - E5</f>
        <v>0.11438906343466093</v>
      </c>
      <c r="G5" s="33">
        <f t="shared" si="2"/>
        <v>9.1856105717096348E-3</v>
      </c>
      <c r="H5" s="33">
        <f t="shared" ref="H5:H11" si="3">G6- G5</f>
        <v>-1.0053183557767742E-3</v>
      </c>
      <c r="I5" s="33">
        <f t="shared" ref="I5:N10" si="4" xml:space="preserve"> H6 - H5</f>
        <v>-5.1369264523426494E-4</v>
      </c>
      <c r="J5" s="33">
        <f t="shared" si="4"/>
        <v>-3.8915119574989276E-5</v>
      </c>
      <c r="K5" s="33">
        <f t="shared" si="4"/>
        <v>3.289704741149535E-5</v>
      </c>
      <c r="L5" s="33">
        <f t="shared" si="4"/>
        <v>9.2345881468336444E-6</v>
      </c>
      <c r="M5" s="33">
        <f t="shared" si="4"/>
        <v>-2.716076337616613E-6</v>
      </c>
      <c r="N5" s="33">
        <f t="shared" si="4"/>
        <v>-1.7307617292683375E-6</v>
      </c>
      <c r="O5" s="34"/>
      <c r="R5" s="30" t="s">
        <v>23</v>
      </c>
      <c r="S5" s="26">
        <v>1.5449090000000001</v>
      </c>
      <c r="T5" s="19">
        <v>1.5449090000000001</v>
      </c>
      <c r="U5" s="20" t="s">
        <v>26</v>
      </c>
    </row>
    <row r="6" spans="3:21" ht="15.75" thickBot="1" x14ac:dyDescent="0.3">
      <c r="C6" s="8">
        <v>3</v>
      </c>
      <c r="D6" s="3">
        <f t="shared" ref="D6:D13" si="5">D5 + 1 / 10</f>
        <v>0.2</v>
      </c>
      <c r="E6" s="5">
        <f t="shared" si="1"/>
        <v>1.2190393348778208</v>
      </c>
      <c r="F6" s="32">
        <f t="shared" si="2"/>
        <v>0.12357467400637057</v>
      </c>
      <c r="G6" s="33">
        <f t="shared" si="2"/>
        <v>8.1802922159328606E-3</v>
      </c>
      <c r="H6" s="33">
        <f t="shared" si="3"/>
        <v>-1.5190110010110391E-3</v>
      </c>
      <c r="I6" s="33">
        <f t="shared" si="4"/>
        <v>-5.5260776480925422E-4</v>
      </c>
      <c r="J6" s="33">
        <f t="shared" si="4"/>
        <v>-6.018072163493926E-6</v>
      </c>
      <c r="K6" s="33">
        <f t="shared" si="4"/>
        <v>4.2131635558328995E-5</v>
      </c>
      <c r="L6" s="33">
        <f t="shared" si="4"/>
        <v>6.5185118092170313E-6</v>
      </c>
      <c r="M6" s="33">
        <f t="shared" si="4"/>
        <v>-4.4468380668849505E-6</v>
      </c>
      <c r="N6" s="33"/>
      <c r="O6" s="34"/>
      <c r="R6" s="13" t="s">
        <v>13</v>
      </c>
      <c r="S6" s="14" t="s">
        <v>18</v>
      </c>
      <c r="T6" s="16" t="s">
        <v>20</v>
      </c>
      <c r="U6" s="15" t="s">
        <v>21</v>
      </c>
    </row>
    <row r="7" spans="3:21" x14ac:dyDescent="0.25">
      <c r="C7" s="8">
        <v>4</v>
      </c>
      <c r="D7" s="3">
        <f t="shared" si="5"/>
        <v>0.30000000000000004</v>
      </c>
      <c r="E7" s="5">
        <f t="shared" si="1"/>
        <v>1.3426140088841914</v>
      </c>
      <c r="F7" s="32">
        <f t="shared" si="2"/>
        <v>0.13175496622230343</v>
      </c>
      <c r="G7" s="33">
        <f t="shared" si="2"/>
        <v>6.6612812149218215E-3</v>
      </c>
      <c r="H7" s="33">
        <f t="shared" si="3"/>
        <v>-2.0716187658202934E-3</v>
      </c>
      <c r="I7" s="33">
        <f t="shared" si="4"/>
        <v>-5.5862583697274815E-4</v>
      </c>
      <c r="J7" s="33">
        <f t="shared" si="4"/>
        <v>3.6113563394835069E-5</v>
      </c>
      <c r="K7" s="33">
        <f t="shared" si="4"/>
        <v>4.8650147367546026E-5</v>
      </c>
      <c r="L7" s="33">
        <f t="shared" si="4"/>
        <v>2.0716737423320808E-6</v>
      </c>
      <c r="M7" s="33"/>
      <c r="N7" s="33"/>
      <c r="O7" s="34"/>
      <c r="R7" s="29" t="s">
        <v>27</v>
      </c>
      <c r="S7" s="27">
        <v>2.0131809999999999</v>
      </c>
      <c r="T7" s="21">
        <v>2.0101309999999999</v>
      </c>
      <c r="U7" s="22">
        <v>3.0000000000000001E-3</v>
      </c>
    </row>
    <row r="8" spans="3:21" ht="15.75" thickBot="1" x14ac:dyDescent="0.3">
      <c r="C8" s="8">
        <v>5</v>
      </c>
      <c r="D8" s="3">
        <f t="shared" si="5"/>
        <v>0.4</v>
      </c>
      <c r="E8" s="5">
        <f t="shared" si="1"/>
        <v>1.4743689751064948</v>
      </c>
      <c r="F8" s="32">
        <f t="shared" si="2"/>
        <v>0.13841624743722525</v>
      </c>
      <c r="G8" s="33">
        <f t="shared" si="2"/>
        <v>4.5896624491015281E-3</v>
      </c>
      <c r="H8" s="33">
        <f t="shared" si="3"/>
        <v>-2.6302446027930415E-3</v>
      </c>
      <c r="I8" s="33">
        <f t="shared" si="4"/>
        <v>-5.2251227357791308E-4</v>
      </c>
      <c r="J8" s="33">
        <f t="shared" si="4"/>
        <v>8.4763710762381095E-5</v>
      </c>
      <c r="K8" s="33">
        <f t="shared" si="4"/>
        <v>5.0721821109878107E-5</v>
      </c>
      <c r="L8" s="33"/>
      <c r="M8" s="33"/>
      <c r="N8" s="33"/>
      <c r="O8" s="34"/>
      <c r="R8" s="7" t="s">
        <v>0</v>
      </c>
      <c r="S8" s="28" t="s">
        <v>28</v>
      </c>
      <c r="T8" s="18">
        <v>1.6946079999999999</v>
      </c>
      <c r="U8" s="2">
        <v>0.01</v>
      </c>
    </row>
    <row r="9" spans="3:21" x14ac:dyDescent="0.25">
      <c r="C9" s="8">
        <v>6</v>
      </c>
      <c r="D9" s="3">
        <f t="shared" si="5"/>
        <v>0.5</v>
      </c>
      <c r="E9" s="5">
        <f t="shared" si="1"/>
        <v>1.61278522254372</v>
      </c>
      <c r="F9" s="32">
        <f t="shared" si="2"/>
        <v>0.14300590988632678</v>
      </c>
      <c r="G9" s="33">
        <f t="shared" si="2"/>
        <v>1.9594178463084866E-3</v>
      </c>
      <c r="H9" s="33">
        <f t="shared" si="3"/>
        <v>-3.1527568763709546E-3</v>
      </c>
      <c r="I9" s="33">
        <f t="shared" si="4"/>
        <v>-4.3774856281553198E-4</v>
      </c>
      <c r="J9" s="33">
        <f t="shared" si="4"/>
        <v>1.354855318722592E-4</v>
      </c>
      <c r="K9" s="33"/>
      <c r="L9" s="33"/>
      <c r="M9" s="33"/>
      <c r="N9" s="33"/>
      <c r="O9" s="34"/>
    </row>
    <row r="10" spans="3:21" x14ac:dyDescent="0.25">
      <c r="C10" s="8">
        <v>7</v>
      </c>
      <c r="D10" s="3">
        <f t="shared" si="5"/>
        <v>0.6</v>
      </c>
      <c r="E10" s="5">
        <f t="shared" si="1"/>
        <v>1.7557911324300468</v>
      </c>
      <c r="F10" s="32">
        <f t="shared" si="2"/>
        <v>0.14496532773263526</v>
      </c>
      <c r="G10" s="33">
        <f t="shared" si="2"/>
        <v>-1.193339030062468E-3</v>
      </c>
      <c r="H10" s="33">
        <f t="shared" si="3"/>
        <v>-3.5905054391864866E-3</v>
      </c>
      <c r="I10" s="33">
        <f t="shared" si="4"/>
        <v>-3.0226303094327278E-4</v>
      </c>
      <c r="J10" s="33"/>
      <c r="K10" s="33"/>
      <c r="L10" s="33"/>
      <c r="M10" s="33"/>
      <c r="N10" s="33"/>
      <c r="O10" s="34"/>
    </row>
    <row r="11" spans="3:21" x14ac:dyDescent="0.25">
      <c r="C11" s="8">
        <v>8</v>
      </c>
      <c r="D11" s="3">
        <f t="shared" si="5"/>
        <v>0.7</v>
      </c>
      <c r="E11" s="5">
        <f t="shared" si="1"/>
        <v>1.9007564601626821</v>
      </c>
      <c r="F11" s="32">
        <f t="shared" si="2"/>
        <v>0.14377198870257279</v>
      </c>
      <c r="G11" s="33">
        <f t="shared" si="2"/>
        <v>-4.7838444692489546E-3</v>
      </c>
      <c r="H11" s="33">
        <f t="shared" si="3"/>
        <v>-3.8927684701297594E-3</v>
      </c>
      <c r="I11" s="33"/>
      <c r="J11" s="33"/>
      <c r="K11" s="33"/>
      <c r="L11" s="33"/>
      <c r="M11" s="33"/>
      <c r="N11" s="33"/>
      <c r="O11" s="34"/>
    </row>
    <row r="12" spans="3:21" x14ac:dyDescent="0.25">
      <c r="C12" s="8">
        <v>9</v>
      </c>
      <c r="D12" s="3">
        <f t="shared" si="5"/>
        <v>0.79999999999999993</v>
      </c>
      <c r="E12" s="5">
        <f t="shared" si="1"/>
        <v>2.0445284488652549</v>
      </c>
      <c r="F12" s="32">
        <f t="shared" si="2"/>
        <v>0.13898814423332384</v>
      </c>
      <c r="G12" s="33">
        <f t="shared" si="2"/>
        <v>-8.6766129393787139E-3</v>
      </c>
      <c r="H12" s="33"/>
      <c r="I12" s="33"/>
      <c r="J12" s="33"/>
      <c r="K12" s="33"/>
      <c r="L12" s="33"/>
      <c r="M12" s="33"/>
      <c r="N12" s="33"/>
      <c r="O12" s="34"/>
    </row>
    <row r="13" spans="3:21" x14ac:dyDescent="0.25">
      <c r="C13" s="8">
        <v>10</v>
      </c>
      <c r="D13" s="3">
        <f t="shared" si="5"/>
        <v>0.89999999999999991</v>
      </c>
      <c r="E13" s="5">
        <f t="shared" si="1"/>
        <v>2.1835165930985787</v>
      </c>
      <c r="F13" s="32">
        <f t="shared" si="2"/>
        <v>0.13031153129394513</v>
      </c>
      <c r="G13" s="33"/>
      <c r="H13" s="33"/>
      <c r="I13" s="33"/>
      <c r="J13" s="33"/>
      <c r="K13" s="33"/>
      <c r="L13" s="33"/>
      <c r="M13" s="33"/>
      <c r="N13" s="33"/>
      <c r="O13" s="34"/>
    </row>
    <row r="14" spans="3:21" ht="15.75" thickBot="1" x14ac:dyDescent="0.3">
      <c r="C14" s="9">
        <v>11</v>
      </c>
      <c r="D14" s="4">
        <f>D13 + 1 / 10</f>
        <v>0.99999999999999989</v>
      </c>
      <c r="E14" s="6">
        <f t="shared" si="1"/>
        <v>2.3138281243925238</v>
      </c>
      <c r="F14" s="28"/>
      <c r="G14" s="18"/>
      <c r="H14" s="18"/>
      <c r="I14" s="18"/>
      <c r="J14" s="18"/>
      <c r="K14" s="18"/>
      <c r="L14" s="18"/>
      <c r="M14" s="18"/>
      <c r="N14" s="18"/>
      <c r="O14" s="35"/>
    </row>
    <row r="16" spans="3:21" x14ac:dyDescent="0.25">
      <c r="C16" s="17" t="s">
        <v>14</v>
      </c>
    </row>
    <row r="17" spans="3:3" x14ac:dyDescent="0.25">
      <c r="C17" s="17" t="s">
        <v>15</v>
      </c>
    </row>
    <row r="18" spans="3:3" x14ac:dyDescent="0.25">
      <c r="C18" s="17" t="s">
        <v>16</v>
      </c>
    </row>
    <row r="19" spans="3:3" x14ac:dyDescent="0.25">
      <c r="C19" s="17" t="s">
        <v>17</v>
      </c>
    </row>
    <row r="20" spans="3:3" x14ac:dyDescent="0.25">
      <c r="C20" s="17"/>
    </row>
    <row r="21" spans="3:3" x14ac:dyDescent="0.25">
      <c r="C21" s="17"/>
    </row>
    <row r="22" spans="3:3" x14ac:dyDescent="0.25">
      <c r="C2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2021-03-30T20:46:02Z</dcterms:modified>
</cp:coreProperties>
</file>