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3" i="1" l="1"/>
  <c r="F3" i="1"/>
  <c r="G3" i="1" s="1"/>
  <c r="H3" i="1" s="1"/>
  <c r="I3" i="1" s="1"/>
  <c r="J3" i="1" s="1"/>
  <c r="K3" i="1" s="1"/>
  <c r="L3" i="1" s="1"/>
  <c r="M3" i="1" s="1"/>
  <c r="N3" i="1" s="1"/>
  <c r="D3" i="1"/>
  <c r="H20" i="1"/>
  <c r="Q20" i="1" s="1"/>
  <c r="Q3" i="1"/>
  <c r="I20" i="1" l="1"/>
  <c r="W21" i="1" s="1"/>
  <c r="H21" i="1"/>
  <c r="W20" i="1"/>
  <c r="R4" i="1"/>
  <c r="I21" i="1"/>
  <c r="R21" i="1"/>
  <c r="C4" i="1"/>
  <c r="AD3" i="1" s="1"/>
  <c r="S5" i="1"/>
  <c r="Q21" i="1" l="1"/>
  <c r="R20" i="1"/>
  <c r="J20" i="1"/>
  <c r="S21" i="1" s="1"/>
  <c r="W22" i="1"/>
  <c r="J21" i="1"/>
  <c r="R22" i="1"/>
  <c r="Q4" i="1"/>
  <c r="R5" i="1"/>
  <c r="Q5" i="1"/>
  <c r="R3" i="1"/>
  <c r="S4" i="1"/>
  <c r="S3" i="1"/>
  <c r="E4" i="1"/>
  <c r="AD5" i="1" s="1"/>
  <c r="D4" i="1"/>
  <c r="AD4" i="1" s="1"/>
  <c r="Q22" i="1" l="1"/>
  <c r="K20" i="1"/>
  <c r="T23" i="1" s="1"/>
  <c r="S22" i="1"/>
  <c r="S20" i="1"/>
  <c r="S23" i="1"/>
  <c r="T4" i="1"/>
  <c r="T6" i="1"/>
  <c r="U7" i="1"/>
  <c r="Q6" i="1"/>
  <c r="T3" i="1"/>
  <c r="S6" i="1"/>
  <c r="R6" i="1"/>
  <c r="T5" i="1"/>
  <c r="F4" i="1"/>
  <c r="AD6" i="1" s="1"/>
  <c r="T21" i="1" l="1"/>
  <c r="R23" i="1"/>
  <c r="K21" i="1"/>
  <c r="L20" i="1"/>
  <c r="U24" i="1" s="1"/>
  <c r="W23" i="1"/>
  <c r="T20" i="1"/>
  <c r="Q23" i="1"/>
  <c r="T22" i="1"/>
  <c r="Q24" i="1"/>
  <c r="U20" i="1"/>
  <c r="V20" i="1" s="1"/>
  <c r="X20" i="1" s="1"/>
  <c r="L21" i="1"/>
  <c r="T24" i="1"/>
  <c r="R24" i="1"/>
  <c r="V8" i="1"/>
  <c r="T7" i="1"/>
  <c r="Q7" i="1"/>
  <c r="U3" i="1"/>
  <c r="S7" i="1"/>
  <c r="R7" i="1"/>
  <c r="U5" i="1"/>
  <c r="U4" i="1"/>
  <c r="G4" i="1"/>
  <c r="AD7" i="1" s="1"/>
  <c r="U6" i="1"/>
  <c r="U22" i="1" l="1"/>
  <c r="V22" i="1" s="1"/>
  <c r="X22" i="1" s="1"/>
  <c r="S24" i="1"/>
  <c r="W24" i="1"/>
  <c r="U23" i="1"/>
  <c r="V23" i="1" s="1"/>
  <c r="X23" i="1" s="1"/>
  <c r="U21" i="1"/>
  <c r="V21" i="1" s="1"/>
  <c r="X21" i="1" s="1"/>
  <c r="V24" i="1"/>
  <c r="X24" i="1" s="1"/>
  <c r="W9" i="1"/>
  <c r="T8" i="1"/>
  <c r="S8" i="1"/>
  <c r="W8" i="1"/>
  <c r="U8" i="1"/>
  <c r="R8" i="1"/>
  <c r="Q8" i="1"/>
  <c r="V3" i="1"/>
  <c r="H4" i="1"/>
  <c r="AD8" i="1" s="1"/>
  <c r="V4" i="1"/>
  <c r="V5" i="1"/>
  <c r="V6" i="1"/>
  <c r="V7" i="1"/>
  <c r="N23" i="1" l="1"/>
  <c r="X10" i="1"/>
  <c r="T9" i="1"/>
  <c r="Q9" i="1"/>
  <c r="U9" i="1"/>
  <c r="S9" i="1"/>
  <c r="W3" i="1"/>
  <c r="R9" i="1"/>
  <c r="V9" i="1"/>
  <c r="W5" i="1"/>
  <c r="I4" i="1"/>
  <c r="AD9" i="1" s="1"/>
  <c r="W4" i="1"/>
  <c r="W6" i="1"/>
  <c r="W7" i="1"/>
  <c r="Y11" i="1" l="1"/>
  <c r="T10" i="1"/>
  <c r="Q10" i="1"/>
  <c r="X3" i="1"/>
  <c r="S10" i="1"/>
  <c r="U10" i="1"/>
  <c r="W10" i="1"/>
  <c r="R10" i="1"/>
  <c r="V10" i="1"/>
  <c r="X4" i="1"/>
  <c r="X5" i="1"/>
  <c r="J4" i="1"/>
  <c r="AD10" i="1" s="1"/>
  <c r="X6" i="1"/>
  <c r="X7" i="1"/>
  <c r="X8" i="1"/>
  <c r="X9" i="1"/>
  <c r="Z12" i="1" l="1"/>
  <c r="T11" i="1"/>
  <c r="X11" i="1"/>
  <c r="S11" i="1"/>
  <c r="W11" i="1"/>
  <c r="U11" i="1"/>
  <c r="Q11" i="1"/>
  <c r="Y3" i="1"/>
  <c r="R11" i="1"/>
  <c r="V11" i="1"/>
  <c r="Y4" i="1"/>
  <c r="K4" i="1"/>
  <c r="AD11" i="1" s="1"/>
  <c r="Y5" i="1"/>
  <c r="Y6" i="1"/>
  <c r="Y7" i="1"/>
  <c r="Y8" i="1"/>
  <c r="Y9" i="1"/>
  <c r="Y10" i="1"/>
  <c r="AA13" i="1" l="1"/>
  <c r="T12" i="1"/>
  <c r="X12" i="1"/>
  <c r="S12" i="1"/>
  <c r="U12" i="1"/>
  <c r="Y12" i="1"/>
  <c r="W12" i="1"/>
  <c r="R12" i="1"/>
  <c r="V12" i="1"/>
  <c r="Q12" i="1"/>
  <c r="Z3" i="1"/>
  <c r="Z5" i="1"/>
  <c r="Z4" i="1"/>
  <c r="L4" i="1"/>
  <c r="AD12" i="1" s="1"/>
  <c r="Z6" i="1"/>
  <c r="Z7" i="1"/>
  <c r="Z8" i="1"/>
  <c r="Z9" i="1"/>
  <c r="Z10" i="1"/>
  <c r="Z11" i="1"/>
  <c r="AA12" i="1" l="1"/>
  <c r="AB14" i="1"/>
  <c r="T13" i="1"/>
  <c r="X13" i="1"/>
  <c r="W13" i="1"/>
  <c r="AA3" i="1"/>
  <c r="U13" i="1"/>
  <c r="Y13" i="1"/>
  <c r="S13" i="1"/>
  <c r="Q13" i="1"/>
  <c r="R13" i="1"/>
  <c r="V13" i="1"/>
  <c r="Z13" i="1"/>
  <c r="AA4" i="1"/>
  <c r="AA5" i="1"/>
  <c r="M4" i="1"/>
  <c r="AD13" i="1" s="1"/>
  <c r="AA6" i="1"/>
  <c r="AA7" i="1"/>
  <c r="AA8" i="1"/>
  <c r="AA9" i="1"/>
  <c r="AA10" i="1"/>
  <c r="AA11" i="1"/>
  <c r="AB13" i="1" l="1"/>
  <c r="AC13" i="1" s="1"/>
  <c r="AE13" i="1" s="1"/>
  <c r="N4" i="1"/>
  <c r="AD14" i="1" s="1"/>
  <c r="T14" i="1"/>
  <c r="X14" i="1"/>
  <c r="Q14" i="1"/>
  <c r="AB3" i="1"/>
  <c r="AC3" i="1" s="1"/>
  <c r="AE3" i="1" s="1"/>
  <c r="U14" i="1"/>
  <c r="Y14" i="1"/>
  <c r="S14" i="1"/>
  <c r="W14" i="1"/>
  <c r="AA14" i="1"/>
  <c r="R14" i="1"/>
  <c r="V14" i="1"/>
  <c r="Z14" i="1"/>
  <c r="AB4" i="1"/>
  <c r="AC4" i="1" s="1"/>
  <c r="AE4" i="1" s="1"/>
  <c r="AB5" i="1"/>
  <c r="AC5" i="1" s="1"/>
  <c r="AE5" i="1" s="1"/>
  <c r="AB6" i="1"/>
  <c r="AC6" i="1" s="1"/>
  <c r="AE6" i="1" s="1"/>
  <c r="AB7" i="1"/>
  <c r="AC7" i="1" s="1"/>
  <c r="AE7" i="1" s="1"/>
  <c r="AB8" i="1"/>
  <c r="AC8" i="1" s="1"/>
  <c r="AE8" i="1" s="1"/>
  <c r="AB9" i="1"/>
  <c r="AC9" i="1" s="1"/>
  <c r="AE9" i="1" s="1"/>
  <c r="AB10" i="1"/>
  <c r="AC10" i="1" s="1"/>
  <c r="AE10" i="1" s="1"/>
  <c r="AB11" i="1"/>
  <c r="AC11" i="1" s="1"/>
  <c r="AE11" i="1" s="1"/>
  <c r="AB12" i="1"/>
  <c r="AC12" i="1" s="1"/>
  <c r="AE12" i="1" s="1"/>
  <c r="AC14" i="1" l="1"/>
  <c r="AE14" i="1" s="1"/>
  <c r="M14" i="1" s="1"/>
</calcChain>
</file>

<file path=xl/sharedStrings.xml><?xml version="1.0" encoding="utf-8"?>
<sst xmlns="http://schemas.openxmlformats.org/spreadsheetml/2006/main" count="18" uniqueCount="7">
  <si>
    <t>X</t>
  </si>
  <si>
    <t>Y</t>
  </si>
  <si>
    <t>i</t>
  </si>
  <si>
    <t>Xi - Xj, (I = j)</t>
  </si>
  <si>
    <t>Di</t>
  </si>
  <si>
    <t>Yi</t>
  </si>
  <si>
    <t>Yi/Di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</si>
</sst>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24"/>
  <sheetViews>
    <sheetView tabSelected="1" topLeftCell="A25" workbookViewId="0">
      <selection activeCell="N21" sqref="N21"/>
    </sheetView>
  </sheetViews>
  <sheetFormatPr defaultRowHeight="15" x14ac:dyDescent="0.25"/>
  <cols>
    <col min="1" max="28" width="9.140625" style="16"/>
    <col min="29" max="29" width="12.7109375" style="16" bestFit="1" customWidth="1"/>
    <col min="30" max="16384" width="9.140625" style="16"/>
  </cols>
  <sheetData>
    <row r="1" spans="2:31" ht="15.75" thickBot="1" x14ac:dyDescent="0.3"/>
    <row r="2" spans="2:31" ht="16.5" thickBot="1" x14ac:dyDescent="0.3">
      <c r="B2" s="6"/>
      <c r="C2" s="7">
        <v>0</v>
      </c>
      <c r="D2" s="8">
        <v>1</v>
      </c>
      <c r="E2" s="7">
        <v>2</v>
      </c>
      <c r="F2" s="8">
        <v>3</v>
      </c>
      <c r="G2" s="7">
        <v>4</v>
      </c>
      <c r="H2" s="8">
        <v>5</v>
      </c>
      <c r="I2" s="7">
        <v>6</v>
      </c>
      <c r="J2" s="8">
        <v>7</v>
      </c>
      <c r="K2" s="7">
        <v>8</v>
      </c>
      <c r="L2" s="8">
        <v>9</v>
      </c>
      <c r="M2" s="7">
        <v>10</v>
      </c>
      <c r="N2" s="8">
        <v>11</v>
      </c>
      <c r="P2" s="1" t="s">
        <v>2</v>
      </c>
      <c r="Q2" s="50" t="s">
        <v>3</v>
      </c>
      <c r="R2" s="51"/>
      <c r="S2" s="51"/>
      <c r="T2" s="51"/>
      <c r="U2" s="51"/>
      <c r="V2" s="51"/>
      <c r="W2" s="51"/>
      <c r="X2" s="51"/>
      <c r="Y2" s="51"/>
      <c r="Z2" s="51"/>
      <c r="AA2" s="51"/>
      <c r="AB2" s="52"/>
      <c r="AC2" s="24" t="s">
        <v>4</v>
      </c>
      <c r="AD2" s="2" t="s">
        <v>5</v>
      </c>
      <c r="AE2" s="3" t="s">
        <v>6</v>
      </c>
    </row>
    <row r="3" spans="2:31" ht="16.5" thickBot="1" x14ac:dyDescent="0.3">
      <c r="B3" s="9" t="s">
        <v>0</v>
      </c>
      <c r="C3" s="10">
        <v>0</v>
      </c>
      <c r="D3" s="11">
        <f>C3 + 0.2 / 11</f>
        <v>1.8181818181818184E-2</v>
      </c>
      <c r="E3" s="11">
        <f t="shared" ref="E3:N3" si="0">D3 + 0.2 / 11</f>
        <v>3.6363636363636369E-2</v>
      </c>
      <c r="F3" s="11">
        <f t="shared" si="0"/>
        <v>5.454545454545455E-2</v>
      </c>
      <c r="G3" s="11">
        <f t="shared" si="0"/>
        <v>7.2727272727272738E-2</v>
      </c>
      <c r="H3" s="11">
        <f t="shared" si="0"/>
        <v>9.0909090909090925E-2</v>
      </c>
      <c r="I3" s="11">
        <f t="shared" si="0"/>
        <v>0.10909090909090911</v>
      </c>
      <c r="J3" s="11">
        <f t="shared" si="0"/>
        <v>0.12727272727272729</v>
      </c>
      <c r="K3" s="11">
        <f t="shared" si="0"/>
        <v>0.14545454545454548</v>
      </c>
      <c r="L3" s="11">
        <f t="shared" si="0"/>
        <v>0.16363636363636366</v>
      </c>
      <c r="M3" s="11">
        <f t="shared" si="0"/>
        <v>0.18181818181818185</v>
      </c>
      <c r="N3" s="11">
        <f t="shared" si="0"/>
        <v>0.20000000000000004</v>
      </c>
      <c r="P3" s="23">
        <v>1</v>
      </c>
      <c r="Q3" s="21">
        <f xml:space="preserve"> $M$11 - C3</f>
        <v>0.15</v>
      </c>
      <c r="R3" s="17">
        <f>$C$3 - D3</f>
        <v>-1.8181818181818184E-2</v>
      </c>
      <c r="S3" s="17">
        <f t="shared" ref="S3:AB3" si="1">$C$3 - E3</f>
        <v>-3.6363636363636369E-2</v>
      </c>
      <c r="T3" s="17">
        <f t="shared" si="1"/>
        <v>-5.454545454545455E-2</v>
      </c>
      <c r="U3" s="17">
        <f t="shared" si="1"/>
        <v>-7.2727272727272738E-2</v>
      </c>
      <c r="V3" s="17">
        <f t="shared" si="1"/>
        <v>-9.0909090909090925E-2</v>
      </c>
      <c r="W3" s="17">
        <f t="shared" si="1"/>
        <v>-0.10909090909090911</v>
      </c>
      <c r="X3" s="17">
        <f t="shared" si="1"/>
        <v>-0.12727272727272729</v>
      </c>
      <c r="Y3" s="17">
        <f t="shared" si="1"/>
        <v>-0.14545454545454548</v>
      </c>
      <c r="Z3" s="17">
        <f t="shared" si="1"/>
        <v>-0.16363636363636366</v>
      </c>
      <c r="AA3" s="17">
        <f t="shared" si="1"/>
        <v>-0.18181818181818185</v>
      </c>
      <c r="AB3" s="19">
        <f t="shared" si="1"/>
        <v>-0.20000000000000004</v>
      </c>
      <c r="AC3" s="25">
        <f>PRODUCT(Q3:AB3)</f>
        <v>-4.2979107492307573E-13</v>
      </c>
      <c r="AD3" s="26">
        <f>C4</f>
        <v>0.8414709848078965</v>
      </c>
      <c r="AE3" s="18">
        <f>AD3 / AC3</f>
        <v>-1957860537142.386</v>
      </c>
    </row>
    <row r="4" spans="2:31" ht="16.5" thickBot="1" x14ac:dyDescent="0.3">
      <c r="B4" s="12" t="s">
        <v>1</v>
      </c>
      <c r="C4" s="13">
        <f>SIN(EXP(C3))</f>
        <v>0.8414709848078965</v>
      </c>
      <c r="D4" s="14">
        <f t="shared" ref="D4:N4" si="2">SIN(EXP(D3))</f>
        <v>0.85124231874446532</v>
      </c>
      <c r="E4" s="14">
        <f t="shared" si="2"/>
        <v>0.8608984173901908</v>
      </c>
      <c r="F4" s="14">
        <f t="shared" si="2"/>
        <v>0.87042279564310399</v>
      </c>
      <c r="G4" s="14">
        <f t="shared" si="2"/>
        <v>0.87979805453282633</v>
      </c>
      <c r="H4" s="14">
        <f t="shared" si="2"/>
        <v>0.88900584741096322</v>
      </c>
      <c r="I4" s="14">
        <f t="shared" si="2"/>
        <v>0.89802684604143235</v>
      </c>
      <c r="J4" s="14">
        <f t="shared" si="2"/>
        <v>0.90684070673712625</v>
      </c>
      <c r="K4" s="14">
        <f t="shared" si="2"/>
        <v>0.91542603670889533</v>
      </c>
      <c r="L4" s="14">
        <f t="shared" si="2"/>
        <v>0.92376036081421786</v>
      </c>
      <c r="M4" s="14">
        <f t="shared" si="2"/>
        <v>0.93182008891619228</v>
      </c>
      <c r="N4" s="15">
        <f t="shared" si="2"/>
        <v>0.93958048408877792</v>
      </c>
      <c r="P4" s="23">
        <v>2</v>
      </c>
      <c r="Q4" s="21">
        <f>$D$3 - C3</f>
        <v>1.8181818181818184E-2</v>
      </c>
      <c r="R4" s="17">
        <f xml:space="preserve"> $M$11 - D3</f>
        <v>0.13181818181818181</v>
      </c>
      <c r="S4" s="17">
        <f>$D$3 - E3</f>
        <v>-1.8181818181818184E-2</v>
      </c>
      <c r="T4" s="17">
        <f t="shared" ref="T4:AB4" si="3">$D$3 - F3</f>
        <v>-3.6363636363636362E-2</v>
      </c>
      <c r="U4" s="17">
        <f t="shared" si="3"/>
        <v>-5.454545454545455E-2</v>
      </c>
      <c r="V4" s="17">
        <f t="shared" si="3"/>
        <v>-7.2727272727272738E-2</v>
      </c>
      <c r="W4" s="17">
        <f t="shared" si="3"/>
        <v>-9.0909090909090925E-2</v>
      </c>
      <c r="X4" s="17">
        <f t="shared" si="3"/>
        <v>-0.1090909090909091</v>
      </c>
      <c r="Y4" s="17">
        <f t="shared" si="3"/>
        <v>-0.12727272727272729</v>
      </c>
      <c r="Z4" s="17">
        <f t="shared" si="3"/>
        <v>-0.14545454545454548</v>
      </c>
      <c r="AA4" s="17">
        <f t="shared" si="3"/>
        <v>-0.16363636363636366</v>
      </c>
      <c r="AB4" s="19">
        <f t="shared" si="3"/>
        <v>-0.18181818181818185</v>
      </c>
      <c r="AC4" s="25">
        <f t="shared" ref="AC4:AC14" si="4">PRODUCT(Q4:AB4)</f>
        <v>3.4335926095782895E-14</v>
      </c>
      <c r="AD4" s="26">
        <f>D4</f>
        <v>0.85124231874446532</v>
      </c>
      <c r="AE4" s="18">
        <f t="shared" ref="AE4:AE14" si="5">AD4 / AC4</f>
        <v>24791593398991.328</v>
      </c>
    </row>
    <row r="5" spans="2:31" ht="15.75" thickBot="1" x14ac:dyDescent="0.3">
      <c r="P5" s="23">
        <v>3</v>
      </c>
      <c r="Q5" s="21">
        <f>$E$3-C3</f>
        <v>3.6363636363636369E-2</v>
      </c>
      <c r="R5" s="21">
        <f>$E$3 - D3</f>
        <v>1.8181818181818184E-2</v>
      </c>
      <c r="S5" s="17">
        <f xml:space="preserve"> $M$11 - E3</f>
        <v>0.11363636363636362</v>
      </c>
      <c r="T5" s="17">
        <f>$E$3 - F3</f>
        <v>-1.8181818181818181E-2</v>
      </c>
      <c r="U5" s="17">
        <f t="shared" ref="U5:AB5" si="6">$E$3 - G3</f>
        <v>-3.6363636363636369E-2</v>
      </c>
      <c r="V5" s="17">
        <f t="shared" si="6"/>
        <v>-5.4545454545454557E-2</v>
      </c>
      <c r="W5" s="17">
        <f t="shared" si="6"/>
        <v>-7.2727272727272751E-2</v>
      </c>
      <c r="X5" s="17">
        <f t="shared" si="6"/>
        <v>-9.0909090909090912E-2</v>
      </c>
      <c r="Y5" s="17">
        <f t="shared" si="6"/>
        <v>-0.1090909090909091</v>
      </c>
      <c r="Z5" s="17">
        <f t="shared" si="6"/>
        <v>-0.12727272727272729</v>
      </c>
      <c r="AA5" s="17">
        <f t="shared" si="6"/>
        <v>-0.14545454545454548</v>
      </c>
      <c r="AB5" s="19">
        <f t="shared" si="6"/>
        <v>-0.16363636363636366</v>
      </c>
      <c r="AC5" s="25">
        <f t="shared" si="4"/>
        <v>-5.9199872578936032E-15</v>
      </c>
      <c r="AD5" s="27">
        <f>E4</f>
        <v>0.8608984173901908</v>
      </c>
      <c r="AE5" s="18">
        <f t="shared" si="5"/>
        <v>-145422342969114.44</v>
      </c>
    </row>
    <row r="6" spans="2:31" ht="15.75" thickBot="1" x14ac:dyDescent="0.3">
      <c r="P6" s="23">
        <v>4</v>
      </c>
      <c r="Q6" s="21">
        <f>$F$3 - C3</f>
        <v>5.454545454545455E-2</v>
      </c>
      <c r="R6" s="21">
        <f t="shared" ref="R6:S6" si="7">$F$3 - D3</f>
        <v>3.6363636363636362E-2</v>
      </c>
      <c r="S6" s="21">
        <f t="shared" si="7"/>
        <v>1.8181818181818181E-2</v>
      </c>
      <c r="T6" s="17">
        <f xml:space="preserve"> $M$11 - F3</f>
        <v>9.5454545454545445E-2</v>
      </c>
      <c r="U6" s="17">
        <f>$F$3 - G3</f>
        <v>-1.8181818181818188E-2</v>
      </c>
      <c r="V6" s="17">
        <f t="shared" ref="V6:AB6" si="8">$F$3 - H3</f>
        <v>-3.6363636363636376E-2</v>
      </c>
      <c r="W6" s="17">
        <f t="shared" si="8"/>
        <v>-5.4545454545454564E-2</v>
      </c>
      <c r="X6" s="17">
        <f t="shared" si="8"/>
        <v>-7.2727272727272738E-2</v>
      </c>
      <c r="Y6" s="17">
        <f t="shared" si="8"/>
        <v>-9.0909090909090925E-2</v>
      </c>
      <c r="Z6" s="17">
        <f t="shared" si="8"/>
        <v>-0.10909090909090911</v>
      </c>
      <c r="AA6" s="17">
        <f t="shared" si="8"/>
        <v>-0.12727272727272732</v>
      </c>
      <c r="AB6" s="19">
        <f t="shared" si="8"/>
        <v>-0.1454545454545455</v>
      </c>
      <c r="AC6" s="25">
        <f t="shared" si="4"/>
        <v>1.65759643221021E-15</v>
      </c>
      <c r="AD6" s="27">
        <f>F4</f>
        <v>0.87042279564310399</v>
      </c>
      <c r="AE6" s="18">
        <f t="shared" si="5"/>
        <v>525111407535124.5</v>
      </c>
    </row>
    <row r="7" spans="2:31" ht="15.75" thickBot="1" x14ac:dyDescent="0.3">
      <c r="P7" s="23">
        <v>5</v>
      </c>
      <c r="Q7" s="21">
        <f>$G$3 - C3</f>
        <v>7.2727272727272738E-2</v>
      </c>
      <c r="R7" s="21">
        <f t="shared" ref="R7:T7" si="9">$G$3 - D3</f>
        <v>5.454545454545455E-2</v>
      </c>
      <c r="S7" s="21">
        <f t="shared" si="9"/>
        <v>3.6363636363636369E-2</v>
      </c>
      <c r="T7" s="21">
        <f t="shared" si="9"/>
        <v>1.8181818181818188E-2</v>
      </c>
      <c r="U7" s="17">
        <f xml:space="preserve"> $M$11 - G3</f>
        <v>7.7272727272727257E-2</v>
      </c>
      <c r="V7" s="17">
        <f>$G$3 - H3</f>
        <v>-1.8181818181818188E-2</v>
      </c>
      <c r="W7" s="17">
        <f t="shared" ref="W7:AB7" si="10">$G$3 - I3</f>
        <v>-3.6363636363636376E-2</v>
      </c>
      <c r="X7" s="17">
        <f t="shared" si="10"/>
        <v>-5.454545454545455E-2</v>
      </c>
      <c r="Y7" s="17">
        <f t="shared" si="10"/>
        <v>-7.2727272727272738E-2</v>
      </c>
      <c r="Z7" s="17">
        <f t="shared" si="10"/>
        <v>-9.0909090909090925E-2</v>
      </c>
      <c r="AA7" s="17">
        <f t="shared" si="10"/>
        <v>-0.10909090909090911</v>
      </c>
      <c r="AB7" s="19">
        <f t="shared" si="10"/>
        <v>-0.12727272727272732</v>
      </c>
      <c r="AC7" s="25">
        <f t="shared" si="4"/>
        <v>-6.7093188922794202E-16</v>
      </c>
      <c r="AD7" s="27">
        <f>G4</f>
        <v>0.87979805453282633</v>
      </c>
      <c r="AE7" s="18">
        <f t="shared" si="5"/>
        <v>-1311307553953400.2</v>
      </c>
    </row>
    <row r="8" spans="2:31" ht="15.75" thickBot="1" x14ac:dyDescent="0.3">
      <c r="P8" s="23">
        <v>6</v>
      </c>
      <c r="Q8" s="21">
        <f>$H$3 - C3</f>
        <v>9.0909090909090925E-2</v>
      </c>
      <c r="R8" s="21">
        <f t="shared" ref="R8:U8" si="11">$H$3 - D3</f>
        <v>7.2727272727272738E-2</v>
      </c>
      <c r="S8" s="21">
        <f t="shared" si="11"/>
        <v>5.4545454545454557E-2</v>
      </c>
      <c r="T8" s="21">
        <f t="shared" si="11"/>
        <v>3.6363636363636376E-2</v>
      </c>
      <c r="U8" s="21">
        <f t="shared" si="11"/>
        <v>1.8181818181818188E-2</v>
      </c>
      <c r="V8" s="17">
        <f xml:space="preserve"> $M$11 - H3</f>
        <v>5.9090909090909069E-2</v>
      </c>
      <c r="W8" s="17">
        <f>$H$3 - I3</f>
        <v>-1.8181818181818188E-2</v>
      </c>
      <c r="X8" s="17">
        <f t="shared" ref="X8:AB8" si="12">$H$3 - J3</f>
        <v>-3.6363636363636362E-2</v>
      </c>
      <c r="Y8" s="17">
        <f t="shared" si="12"/>
        <v>-5.454545454545455E-2</v>
      </c>
      <c r="Z8" s="17">
        <f t="shared" si="12"/>
        <v>-7.2727272727272738E-2</v>
      </c>
      <c r="AA8" s="17">
        <f t="shared" si="12"/>
        <v>-9.0909090909090925E-2</v>
      </c>
      <c r="AB8" s="19">
        <f t="shared" si="12"/>
        <v>-0.10909090909090911</v>
      </c>
      <c r="AC8" s="25">
        <f t="shared" si="4"/>
        <v>3.6647540167912804E-16</v>
      </c>
      <c r="AD8" s="27">
        <f>H4</f>
        <v>0.88900584741096322</v>
      </c>
      <c r="AE8" s="18">
        <f t="shared" si="5"/>
        <v>2425826790386720</v>
      </c>
    </row>
    <row r="9" spans="2:31" ht="15.75" thickBot="1" x14ac:dyDescent="0.3">
      <c r="P9" s="23">
        <v>7</v>
      </c>
      <c r="Q9" s="21">
        <f>$I$3 - C3</f>
        <v>0.10909090909090911</v>
      </c>
      <c r="R9" s="21">
        <f t="shared" ref="R9:V9" si="13">$I$3 - D3</f>
        <v>9.0909090909090925E-2</v>
      </c>
      <c r="S9" s="21">
        <f t="shared" si="13"/>
        <v>7.2727272727272751E-2</v>
      </c>
      <c r="T9" s="21">
        <f t="shared" si="13"/>
        <v>5.4545454545454564E-2</v>
      </c>
      <c r="U9" s="21">
        <f t="shared" si="13"/>
        <v>3.6363636363636376E-2</v>
      </c>
      <c r="V9" s="21">
        <f t="shared" si="13"/>
        <v>1.8181818181818188E-2</v>
      </c>
      <c r="W9" s="17">
        <f xml:space="preserve"> $M$11 - I3</f>
        <v>4.0909090909090881E-2</v>
      </c>
      <c r="X9" s="17">
        <f>$I$3 - J3</f>
        <v>-1.8181818181818174E-2</v>
      </c>
      <c r="Y9" s="17">
        <f t="shared" ref="Y9:AB9" si="14">$I$3 - K3</f>
        <v>-3.6363636363636362E-2</v>
      </c>
      <c r="Z9" s="17">
        <f t="shared" si="14"/>
        <v>-5.454545454545455E-2</v>
      </c>
      <c r="AA9" s="17">
        <f t="shared" si="14"/>
        <v>-7.2727272727272738E-2</v>
      </c>
      <c r="AB9" s="19">
        <f t="shared" si="14"/>
        <v>-9.0909090909090925E-2</v>
      </c>
      <c r="AC9" s="25">
        <f t="shared" si="4"/>
        <v>-2.5371373962401149E-16</v>
      </c>
      <c r="AD9" s="27">
        <f>I4</f>
        <v>0.89802684604143235</v>
      </c>
      <c r="AE9" s="18">
        <f t="shared" si="5"/>
        <v>-3539527844933641</v>
      </c>
    </row>
    <row r="10" spans="2:31" ht="15.75" thickBot="1" x14ac:dyDescent="0.3">
      <c r="M10" s="16" t="s">
        <v>0</v>
      </c>
      <c r="P10" s="23">
        <v>8</v>
      </c>
      <c r="Q10" s="21">
        <f>$J$3 - C3</f>
        <v>0.12727272727272729</v>
      </c>
      <c r="R10" s="21">
        <f t="shared" ref="R10:W10" si="15">$J$3 - D3</f>
        <v>0.1090909090909091</v>
      </c>
      <c r="S10" s="21">
        <f t="shared" si="15"/>
        <v>9.0909090909090912E-2</v>
      </c>
      <c r="T10" s="21">
        <f t="shared" si="15"/>
        <v>7.2727272727272738E-2</v>
      </c>
      <c r="U10" s="21">
        <f t="shared" si="15"/>
        <v>5.454545454545455E-2</v>
      </c>
      <c r="V10" s="21">
        <f t="shared" si="15"/>
        <v>3.6363636363636362E-2</v>
      </c>
      <c r="W10" s="21">
        <f t="shared" si="15"/>
        <v>1.8181818181818174E-2</v>
      </c>
      <c r="X10" s="17">
        <f xml:space="preserve"> $M$11 - J3</f>
        <v>2.2727272727272707E-2</v>
      </c>
      <c r="Y10" s="17">
        <f>$J$3 - K3</f>
        <v>-1.8181818181818188E-2</v>
      </c>
      <c r="Z10" s="17">
        <f t="shared" ref="Z10:AB10" si="16">$J$3 - L3</f>
        <v>-3.6363636363636376E-2</v>
      </c>
      <c r="AA10" s="17">
        <f t="shared" si="16"/>
        <v>-5.4545454545454564E-2</v>
      </c>
      <c r="AB10" s="19">
        <f t="shared" si="16"/>
        <v>-7.2727272727272751E-2</v>
      </c>
      <c r="AC10" s="25">
        <f t="shared" si="4"/>
        <v>1.9733290859645322E-16</v>
      </c>
      <c r="AD10" s="27">
        <f>J4</f>
        <v>0.90684070673712625</v>
      </c>
      <c r="AE10" s="18">
        <f t="shared" si="5"/>
        <v>4595486445657273</v>
      </c>
    </row>
    <row r="11" spans="2:31" ht="15.75" thickBot="1" x14ac:dyDescent="0.3">
      <c r="M11" s="16">
        <v>0.15</v>
      </c>
      <c r="P11" s="23">
        <v>9</v>
      </c>
      <c r="Q11" s="21">
        <f>$K$3 - C3</f>
        <v>0.14545454545454548</v>
      </c>
      <c r="R11" s="21">
        <f t="shared" ref="R11:X11" si="17">$K$3 - D3</f>
        <v>0.12727272727272729</v>
      </c>
      <c r="S11" s="21">
        <f t="shared" si="17"/>
        <v>0.1090909090909091</v>
      </c>
      <c r="T11" s="21">
        <f t="shared" si="17"/>
        <v>9.0909090909090925E-2</v>
      </c>
      <c r="U11" s="21">
        <f t="shared" si="17"/>
        <v>7.2727272727272738E-2</v>
      </c>
      <c r="V11" s="21">
        <f t="shared" si="17"/>
        <v>5.454545454545455E-2</v>
      </c>
      <c r="W11" s="21">
        <f t="shared" si="17"/>
        <v>3.6363636363636362E-2</v>
      </c>
      <c r="X11" s="21">
        <f t="shared" si="17"/>
        <v>1.8181818181818188E-2</v>
      </c>
      <c r="Y11" s="17">
        <f xml:space="preserve"> $M$11 - K3</f>
        <v>4.5454545454545192E-3</v>
      </c>
      <c r="Z11" s="17">
        <f>$K$3 - L3</f>
        <v>-1.8181818181818188E-2</v>
      </c>
      <c r="AA11" s="17">
        <f t="shared" ref="AA11:AB11" si="18">$K$3 - M3</f>
        <v>-3.6363636363636376E-2</v>
      </c>
      <c r="AB11" s="19">
        <f t="shared" si="18"/>
        <v>-5.4545454545454564E-2</v>
      </c>
      <c r="AC11" s="25">
        <f t="shared" si="4"/>
        <v>-7.8933163438580966E-17</v>
      </c>
      <c r="AD11" s="27">
        <f>K4</f>
        <v>0.91542603670889533</v>
      </c>
      <c r="AE11" s="18">
        <f t="shared" si="5"/>
        <v>-1.159748319755614E+16</v>
      </c>
    </row>
    <row r="12" spans="2:31" ht="15.75" thickBot="1" x14ac:dyDescent="0.3">
      <c r="P12" s="23">
        <v>10</v>
      </c>
      <c r="Q12" s="21">
        <f>$L$3 - C3</f>
        <v>0.16363636363636366</v>
      </c>
      <c r="R12" s="21">
        <f t="shared" ref="R12:Y12" si="19">$L$3 - D3</f>
        <v>0.14545454545454548</v>
      </c>
      <c r="S12" s="21">
        <f t="shared" si="19"/>
        <v>0.12727272727272729</v>
      </c>
      <c r="T12" s="21">
        <f t="shared" si="19"/>
        <v>0.10909090909090911</v>
      </c>
      <c r="U12" s="21">
        <f t="shared" si="19"/>
        <v>9.0909090909090925E-2</v>
      </c>
      <c r="V12" s="21">
        <f t="shared" si="19"/>
        <v>7.2727272727272738E-2</v>
      </c>
      <c r="W12" s="21">
        <f t="shared" si="19"/>
        <v>5.454545454545455E-2</v>
      </c>
      <c r="X12" s="21">
        <f t="shared" si="19"/>
        <v>3.6363636363636376E-2</v>
      </c>
      <c r="Y12" s="21">
        <f t="shared" si="19"/>
        <v>1.8181818181818188E-2</v>
      </c>
      <c r="Z12" s="17">
        <f xml:space="preserve"> $M$11 - L3</f>
        <v>-1.3636363636363669E-2</v>
      </c>
      <c r="AA12" s="17">
        <f>$L$3 - M3</f>
        <v>-1.8181818181818188E-2</v>
      </c>
      <c r="AB12" s="19">
        <f>$L$3 - N3</f>
        <v>-3.6363636363636376E-2</v>
      </c>
      <c r="AC12" s="25">
        <f t="shared" si="4"/>
        <v>-7.1039847094723464E-16</v>
      </c>
      <c r="AD12" s="27">
        <f>L4</f>
        <v>0.92376036081421786</v>
      </c>
      <c r="AE12" s="18">
        <f t="shared" si="5"/>
        <v>-1300341144572692.7</v>
      </c>
    </row>
    <row r="13" spans="2:31" ht="15.75" thickBot="1" x14ac:dyDescent="0.3">
      <c r="M13" s="16" t="s">
        <v>1</v>
      </c>
      <c r="P13" s="23">
        <v>11</v>
      </c>
      <c r="Q13" s="21">
        <f>$M$3 - C3</f>
        <v>0.18181818181818185</v>
      </c>
      <c r="R13" s="21">
        <f t="shared" ref="R13:Z13" si="20">$M$3 - D3</f>
        <v>0.16363636363636366</v>
      </c>
      <c r="S13" s="21">
        <f t="shared" si="20"/>
        <v>0.14545454545454548</v>
      </c>
      <c r="T13" s="21">
        <f t="shared" si="20"/>
        <v>0.12727272727272732</v>
      </c>
      <c r="U13" s="21">
        <f t="shared" si="20"/>
        <v>0.10909090909090911</v>
      </c>
      <c r="V13" s="21">
        <f t="shared" si="20"/>
        <v>9.0909090909090925E-2</v>
      </c>
      <c r="W13" s="21">
        <f t="shared" si="20"/>
        <v>7.2727272727272738E-2</v>
      </c>
      <c r="X13" s="21">
        <f t="shared" si="20"/>
        <v>5.4545454545454564E-2</v>
      </c>
      <c r="Y13" s="21">
        <f t="shared" si="20"/>
        <v>3.6363636363636376E-2</v>
      </c>
      <c r="Z13" s="21">
        <f t="shared" si="20"/>
        <v>1.8181818181818188E-2</v>
      </c>
      <c r="AA13" s="17">
        <f xml:space="preserve"> $M$11 - M3</f>
        <v>-3.1818181818181857E-2</v>
      </c>
      <c r="AB13" s="19">
        <f>$M$3 - N3</f>
        <v>-1.8181818181818188E-2</v>
      </c>
      <c r="AC13" s="25">
        <f t="shared" si="4"/>
        <v>8.2879821610510647E-15</v>
      </c>
      <c r="AD13" s="27">
        <f>M4</f>
        <v>0.93182008891619228</v>
      </c>
      <c r="AE13" s="18">
        <f t="shared" si="5"/>
        <v>112430272026311.98</v>
      </c>
    </row>
    <row r="14" spans="2:31" ht="15.75" thickBot="1" x14ac:dyDescent="0.3">
      <c r="M14" s="16">
        <f>PRODUCT(Q3,R4,S5,T6,U7,V8,W9,X10,Y11,Z12,AA13,AB14) * SUM(AE3:AE14)</f>
        <v>0.9175340517219408</v>
      </c>
      <c r="P14" s="4">
        <v>12</v>
      </c>
      <c r="Q14" s="22">
        <f>$N$3 - C3</f>
        <v>0.20000000000000004</v>
      </c>
      <c r="R14" s="22">
        <f t="shared" ref="R14:AA14" si="21">$N$3 - D3</f>
        <v>0.18181818181818185</v>
      </c>
      <c r="S14" s="22">
        <f t="shared" si="21"/>
        <v>0.16363636363636366</v>
      </c>
      <c r="T14" s="22">
        <f t="shared" si="21"/>
        <v>0.1454545454545455</v>
      </c>
      <c r="U14" s="22">
        <f t="shared" si="21"/>
        <v>0.12727272727272732</v>
      </c>
      <c r="V14" s="22">
        <f t="shared" si="21"/>
        <v>0.10909090909090911</v>
      </c>
      <c r="W14" s="22">
        <f t="shared" si="21"/>
        <v>9.0909090909090925E-2</v>
      </c>
      <c r="X14" s="22">
        <f t="shared" si="21"/>
        <v>7.2727272727272751E-2</v>
      </c>
      <c r="Y14" s="22">
        <f t="shared" si="21"/>
        <v>5.4545454545454564E-2</v>
      </c>
      <c r="Z14" s="22">
        <f t="shared" si="21"/>
        <v>3.6363636363636376E-2</v>
      </c>
      <c r="AA14" s="22">
        <f t="shared" si="21"/>
        <v>1.8181818181818188E-2</v>
      </c>
      <c r="AB14" s="20">
        <f xml:space="preserve"> $M$11 - N3</f>
        <v>-5.0000000000000044E-2</v>
      </c>
      <c r="AC14" s="25">
        <f t="shared" si="4"/>
        <v>-1.4326369164102553E-13</v>
      </c>
      <c r="AD14" s="5">
        <f>N4</f>
        <v>0.93958048408877792</v>
      </c>
      <c r="AE14" s="18">
        <f t="shared" si="5"/>
        <v>-6558399224020.248</v>
      </c>
    </row>
    <row r="18" spans="7:24" ht="15.75" thickBot="1" x14ac:dyDescent="0.3"/>
    <row r="19" spans="7:24" ht="15.75" thickBot="1" x14ac:dyDescent="0.3">
      <c r="G19" s="36"/>
      <c r="H19" s="34">
        <v>0</v>
      </c>
      <c r="I19" s="33">
        <v>2</v>
      </c>
      <c r="J19" s="34">
        <v>5</v>
      </c>
      <c r="K19" s="33">
        <v>7</v>
      </c>
      <c r="L19" s="34">
        <v>10</v>
      </c>
      <c r="N19" s="42" t="s">
        <v>0</v>
      </c>
      <c r="P19" s="36" t="s">
        <v>2</v>
      </c>
      <c r="Q19" s="53" t="s">
        <v>3</v>
      </c>
      <c r="R19" s="54"/>
      <c r="S19" s="54"/>
      <c r="T19" s="54"/>
      <c r="U19" s="55"/>
      <c r="V19" s="40" t="s">
        <v>4</v>
      </c>
      <c r="W19" s="2" t="s">
        <v>5</v>
      </c>
      <c r="X19" s="3" t="s">
        <v>6</v>
      </c>
    </row>
    <row r="20" spans="7:24" ht="16.5" thickBot="1" x14ac:dyDescent="0.3">
      <c r="G20" s="35" t="s">
        <v>0</v>
      </c>
      <c r="H20" s="28">
        <f>C3</f>
        <v>0</v>
      </c>
      <c r="I20" s="11">
        <f>E3</f>
        <v>3.6363636363636369E-2</v>
      </c>
      <c r="J20" s="11">
        <f>H3</f>
        <v>9.0909090909090925E-2</v>
      </c>
      <c r="K20" s="11">
        <f>J3</f>
        <v>0.12727272727272729</v>
      </c>
      <c r="L20" s="11">
        <f>M3</f>
        <v>0.18181818181818185</v>
      </c>
      <c r="N20" s="36">
        <v>0.06</v>
      </c>
      <c r="P20" s="37">
        <v>1</v>
      </c>
      <c r="Q20" s="43">
        <f>$N$20 - $H$20</f>
        <v>0.06</v>
      </c>
      <c r="R20" s="44">
        <f>$H$20 - I20</f>
        <v>-3.6363636363636369E-2</v>
      </c>
      <c r="S20" s="44">
        <f t="shared" ref="S20:U20" si="22">$H$20 - J20</f>
        <v>-9.0909090909090925E-2</v>
      </c>
      <c r="T20" s="44">
        <f t="shared" si="22"/>
        <v>-0.12727272727272729</v>
      </c>
      <c r="U20" s="45">
        <f t="shared" si="22"/>
        <v>-0.18181818181818185</v>
      </c>
      <c r="V20" s="41">
        <f>PRODUCT(Q20:U20)</f>
        <v>4.5898504200532775E-6</v>
      </c>
      <c r="W20" s="38">
        <f>SIN(EXP(H20))</f>
        <v>0.8414709848078965</v>
      </c>
      <c r="X20" s="39">
        <f>W20 / V20</f>
        <v>183332.98643708936</v>
      </c>
    </row>
    <row r="21" spans="7:24" ht="15.75" thickBot="1" x14ac:dyDescent="0.3">
      <c r="G21" s="32" t="s">
        <v>1</v>
      </c>
      <c r="H21" s="30">
        <f>SIN(EXP(H20))</f>
        <v>0.8414709848078965</v>
      </c>
      <c r="I21" s="31">
        <f t="shared" ref="I21:L21" si="23">SIN(EXP(I20))</f>
        <v>0.8608984173901908</v>
      </c>
      <c r="J21" s="31">
        <f t="shared" si="23"/>
        <v>0.88900584741096322</v>
      </c>
      <c r="K21" s="31">
        <f t="shared" si="23"/>
        <v>0.90684070673712625</v>
      </c>
      <c r="L21" s="20">
        <f t="shared" si="23"/>
        <v>0.93182008891619228</v>
      </c>
      <c r="P21" s="23">
        <v>2</v>
      </c>
      <c r="Q21" s="46">
        <f>I20 - H20</f>
        <v>3.6363636363636369E-2</v>
      </c>
      <c r="R21" s="27">
        <f>$N$20 - $I$20</f>
        <v>2.3636363636363629E-2</v>
      </c>
      <c r="S21" s="27">
        <f>$I$20 - J20</f>
        <v>-5.4545454545454557E-2</v>
      </c>
      <c r="T21" s="27">
        <f t="shared" ref="T21:U21" si="24">$I$20 - K20</f>
        <v>-9.0909090909090912E-2</v>
      </c>
      <c r="U21" s="47">
        <f t="shared" si="24"/>
        <v>-0.14545454545454548</v>
      </c>
      <c r="V21" s="29">
        <f t="shared" ref="V21:V24" si="25">PRODUCT(Q21:U21)</f>
        <v>-6.1992784894226073E-7</v>
      </c>
      <c r="W21" s="17">
        <f>SIN(EXP(I20))</f>
        <v>0.8608984173901908</v>
      </c>
      <c r="X21" s="19">
        <f t="shared" ref="X21:X24" si="26">W21 / V21</f>
        <v>-1388707.4420984332</v>
      </c>
    </row>
    <row r="22" spans="7:24" ht="15.75" thickBot="1" x14ac:dyDescent="0.3">
      <c r="N22" s="42" t="s">
        <v>1</v>
      </c>
      <c r="P22" s="23">
        <v>3</v>
      </c>
      <c r="Q22" s="46">
        <f>$J$20-H20</f>
        <v>9.0909090909090925E-2</v>
      </c>
      <c r="R22" s="27">
        <f>$J$20-I20</f>
        <v>5.4545454545454557E-2</v>
      </c>
      <c r="S22" s="27">
        <f>$N$20-$J$20</f>
        <v>-3.0909090909090928E-2</v>
      </c>
      <c r="T22" s="27">
        <f>$J$20-K20</f>
        <v>-3.6363636363636362E-2</v>
      </c>
      <c r="U22" s="47">
        <f>$J$20-L20</f>
        <v>-9.0909090909090925E-2</v>
      </c>
      <c r="V22" s="29">
        <f t="shared" si="25"/>
        <v>-5.0667179961627125E-7</v>
      </c>
      <c r="W22" s="17">
        <f>SIN(EXP(J20))</f>
        <v>0.88900584741096322</v>
      </c>
      <c r="X22" s="19">
        <f t="shared" si="26"/>
        <v>-1754599.0285708683</v>
      </c>
    </row>
    <row r="23" spans="7:24" ht="15.75" thickBot="1" x14ac:dyDescent="0.3">
      <c r="N23" s="36">
        <f>PRODUCT(Q20,R21,S22,T23,U24) * SUM(X20:X24)</f>
        <v>0.87325179612288195</v>
      </c>
      <c r="P23" s="23">
        <v>4</v>
      </c>
      <c r="Q23" s="46">
        <f>$K$20-H20</f>
        <v>0.12727272727272729</v>
      </c>
      <c r="R23" s="27">
        <f t="shared" ref="R23:S23" si="27">$K$20-I20</f>
        <v>9.0909090909090912E-2</v>
      </c>
      <c r="S23" s="27">
        <f t="shared" si="27"/>
        <v>3.6363636363636362E-2</v>
      </c>
      <c r="T23" s="27">
        <f>$N$20-$K$20</f>
        <v>-6.727272727272729E-2</v>
      </c>
      <c r="U23" s="47">
        <f>$K$20-L20</f>
        <v>-5.4545454545454564E-2</v>
      </c>
      <c r="V23" s="29">
        <f t="shared" si="25"/>
        <v>1.5438587776542843E-6</v>
      </c>
      <c r="W23" s="17">
        <f>SIN(EXP(K20))</f>
        <v>0.90684070673712625</v>
      </c>
      <c r="X23" s="19">
        <f t="shared" si="26"/>
        <v>587385.78933687601</v>
      </c>
    </row>
    <row r="24" spans="7:24" ht="15.75" thickBot="1" x14ac:dyDescent="0.3">
      <c r="P24" s="4">
        <v>5</v>
      </c>
      <c r="Q24" s="48">
        <f>$L$20-H20</f>
        <v>0.18181818181818185</v>
      </c>
      <c r="R24" s="5">
        <f t="shared" ref="R24:T24" si="28">$L$20-I20</f>
        <v>0.14545454545454548</v>
      </c>
      <c r="S24" s="5">
        <f t="shared" si="28"/>
        <v>9.0909090909090925E-2</v>
      </c>
      <c r="T24" s="5">
        <f t="shared" si="28"/>
        <v>5.4545454545454564E-2</v>
      </c>
      <c r="U24" s="49">
        <f>$N$20-$L$20</f>
        <v>-0.12181818181818185</v>
      </c>
      <c r="V24" s="30">
        <f t="shared" si="25"/>
        <v>-1.5975063799665965E-5</v>
      </c>
      <c r="W24" s="31">
        <f>SIN(EXP(L20))</f>
        <v>0.93182008891619228</v>
      </c>
      <c r="X24" s="20">
        <f t="shared" si="26"/>
        <v>-58329.663067491252</v>
      </c>
    </row>
  </sheetData>
  <mergeCells count="2">
    <mergeCell ref="Q2:AB2"/>
    <mergeCell ref="Q19:U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2021-04-11T00:48:29Z</dcterms:modified>
</cp:coreProperties>
</file>